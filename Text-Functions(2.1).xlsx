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Lenovo\Desktop\Excel,Power Bi\"/>
    </mc:Choice>
  </mc:AlternateContent>
  <xr:revisionPtr revIDLastSave="0" documentId="8_{46060F04-4B3F-486E-A43A-EED42827EA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2" sheetId="2" r:id="rId1"/>
  </sheets>
  <calcPr calcId="191029"/>
  <extLst>
    <ext uri="GoogleSheetsCustomDataVersion2">
      <go:sheetsCustomData xmlns:go="http://customooxmlschemas.google.com/" r:id="rId6" roundtripDataChecksum="Mjf/p2C9hJmY/0dATrBUrgX4XJ2azPNuhH7hsrgZlFY="/>
    </ext>
  </extLst>
</workbook>
</file>

<file path=xl/calcChain.xml><?xml version="1.0" encoding="utf-8"?>
<calcChain xmlns="http://schemas.openxmlformats.org/spreadsheetml/2006/main">
  <c r="P6" i="2" l="1"/>
  <c r="H6" i="2" s="1"/>
  <c r="J6" i="2"/>
  <c r="G6" i="2" s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N7" i="2"/>
  <c r="O7" i="2"/>
  <c r="P7" i="2" s="1"/>
  <c r="N8" i="2"/>
  <c r="O8" i="2"/>
  <c r="P8" i="2"/>
  <c r="N9" i="2"/>
  <c r="O9" i="2"/>
  <c r="P9" i="2" s="1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 s="1"/>
  <c r="N16" i="2"/>
  <c r="O16" i="2"/>
  <c r="P16" i="2"/>
  <c r="N17" i="2"/>
  <c r="O17" i="2"/>
  <c r="P17" i="2" s="1"/>
  <c r="N18" i="2"/>
  <c r="O18" i="2"/>
  <c r="P18" i="2"/>
  <c r="N19" i="2"/>
  <c r="O19" i="2"/>
  <c r="P19" i="2"/>
  <c r="N20" i="2"/>
  <c r="O20" i="2"/>
  <c r="P20" i="2"/>
  <c r="N21" i="2"/>
  <c r="O21" i="2"/>
  <c r="P21" i="2"/>
  <c r="N22" i="2"/>
  <c r="O22" i="2"/>
  <c r="P22" i="2"/>
  <c r="N23" i="2"/>
  <c r="O23" i="2"/>
  <c r="P23" i="2" s="1"/>
  <c r="N24" i="2"/>
  <c r="O24" i="2"/>
  <c r="P24" i="2"/>
  <c r="N6" i="2"/>
  <c r="O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J7" i="2"/>
  <c r="L7" i="2"/>
  <c r="M7" i="2"/>
  <c r="J8" i="2"/>
  <c r="L8" i="2"/>
  <c r="M8" i="2"/>
  <c r="J9" i="2"/>
  <c r="L9" i="2"/>
  <c r="M9" i="2"/>
  <c r="J10" i="2"/>
  <c r="L10" i="2"/>
  <c r="M10" i="2"/>
  <c r="J11" i="2"/>
  <c r="L11" i="2"/>
  <c r="M11" i="2"/>
  <c r="J12" i="2"/>
  <c r="L12" i="2"/>
  <c r="M12" i="2"/>
  <c r="J13" i="2"/>
  <c r="L13" i="2"/>
  <c r="M13" i="2"/>
  <c r="J14" i="2"/>
  <c r="L14" i="2"/>
  <c r="M14" i="2"/>
  <c r="J15" i="2"/>
  <c r="L15" i="2"/>
  <c r="M15" i="2"/>
  <c r="J16" i="2"/>
  <c r="L16" i="2"/>
  <c r="M16" i="2"/>
  <c r="J17" i="2"/>
  <c r="L17" i="2"/>
  <c r="M17" i="2"/>
  <c r="J18" i="2"/>
  <c r="L18" i="2"/>
  <c r="M18" i="2"/>
  <c r="J19" i="2"/>
  <c r="L19" i="2"/>
  <c r="M19" i="2"/>
  <c r="J20" i="2"/>
  <c r="L20" i="2"/>
  <c r="M20" i="2"/>
  <c r="J21" i="2"/>
  <c r="L21" i="2"/>
  <c r="M21" i="2"/>
  <c r="J22" i="2"/>
  <c r="L22" i="2"/>
  <c r="M22" i="2"/>
  <c r="J23" i="2"/>
  <c r="L23" i="2"/>
  <c r="M23" i="2"/>
  <c r="J24" i="2"/>
  <c r="L24" i="2"/>
  <c r="M24" i="2"/>
  <c r="M6" i="2"/>
  <c r="L6" i="2"/>
</calcChain>
</file>

<file path=xl/sharedStrings.xml><?xml version="1.0" encoding="utf-8"?>
<sst xmlns="http://schemas.openxmlformats.org/spreadsheetml/2006/main" count="91" uniqueCount="38">
  <si>
    <t>Start Date</t>
  </si>
  <si>
    <t>Plant ID</t>
  </si>
  <si>
    <t>Project Type</t>
  </si>
  <si>
    <t>Plant123</t>
  </si>
  <si>
    <t>fleet planning</t>
  </si>
  <si>
    <t>Plant124</t>
  </si>
  <si>
    <t>custom EV </t>
  </si>
  <si>
    <t>process optimization</t>
  </si>
  <si>
    <t>Plant125</t>
  </si>
  <si>
    <t>modular plant design</t>
  </si>
  <si>
    <t>Plant126</t>
  </si>
  <si>
    <t>robotics and automation software </t>
  </si>
  <si>
    <t>Plant127</t>
  </si>
  <si>
    <t>Laser scanning and aerial imaging</t>
  </si>
  <si>
    <t>Project ID: Example for 1st row: FP12313, First 2 letters of Project name+last 3 digits of plantid+last 2 digits of EmpID</t>
  </si>
  <si>
    <t>SPOCName</t>
  </si>
  <si>
    <t>EMP ID</t>
  </si>
  <si>
    <t>Project ID</t>
  </si>
  <si>
    <t>Abbv SPOC Name</t>
  </si>
  <si>
    <t>ADVAITH RAI</t>
  </si>
  <si>
    <t>cre013</t>
  </si>
  <si>
    <t>indrani mehta</t>
  </si>
  <si>
    <t>cre016</t>
  </si>
  <si>
    <t>Sumit Ghosh</t>
  </si>
  <si>
    <t>cre017</t>
  </si>
  <si>
    <t>LATHA MAHENDRA</t>
  </si>
  <si>
    <t>cre020</t>
  </si>
  <si>
    <t>PRERNA SHAH</t>
  </si>
  <si>
    <t>cre021</t>
  </si>
  <si>
    <t>SUMIT GHOSH</t>
  </si>
  <si>
    <t>INDRANI MEHTA</t>
  </si>
  <si>
    <t xml:space="preserve">                   project id type --&gt;   fl12313</t>
  </si>
  <si>
    <t>1st 2 letter of project</t>
  </si>
  <si>
    <t>Abbv SPOC Name: Example, A Rai</t>
  </si>
  <si>
    <t>last 3 digits of plant id</t>
  </si>
  <si>
    <t>last 2 digits of empid</t>
  </si>
  <si>
    <t>last name</t>
  </si>
  <si>
    <t xml:space="preserve">Initial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</si>
</sst>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4"/>
      <color theme="1"/>
      <name val="Lustria"/>
      <scheme val="minor"/>
    </font>
    <font>
      <sz val="10"/>
      <color theme="1"/>
      <name val="Calibri"/>
      <family val="2"/>
    </font>
    <font>
      <sz val="14"/>
      <color theme="1"/>
      <name val="Lustria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4" fontId="1" fillId="0" borderId="2" xfId="0" applyNumberFormat="1" applyFont="1" applyBorder="1"/>
    <xf numFmtId="0" fontId="2" fillId="0" borderId="2" xfId="0" applyFont="1" applyBorder="1"/>
    <xf numFmtId="0" fontId="1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846AB2-7983-40B5-AADB-57518A38B8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ustria"/>
        <a:ea typeface="Lustria"/>
        <a:cs typeface="Lustria"/>
      </a:majorFont>
      <a:minorFont>
        <a:latin typeface="Lustria"/>
        <a:ea typeface="Lustria"/>
        <a:cs typeface="Lustr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000"/>
  <sheetViews>
    <sheetView tabSelected="1" zoomScale="54" zoomScaleNormal="54" workbookViewId="0">
      <selection activeCell="H6" sqref="H6"/>
    </sheetView>
  </sheetViews>
  <sheetFormatPr defaultColWidth="10.125" defaultRowHeight="15" customHeight="1"/>
  <cols>
    <col min="1" max="3" width="8.5" customWidth="1"/>
    <col min="4" max="4" width="21.125" customWidth="1"/>
    <col min="5" max="5" width="11.8125" customWidth="1"/>
    <col min="6" max="6" width="8.5" customWidth="1"/>
    <col min="7" max="7" width="10.375" customWidth="1"/>
    <col min="8" max="8" width="13" customWidth="1"/>
    <col min="9" max="9" width="8.5" customWidth="1"/>
    <col min="10" max="10" width="16.9375" customWidth="1"/>
    <col min="11" max="11" width="0.125" customWidth="1"/>
    <col min="12" max="12" width="22.5" customWidth="1"/>
    <col min="13" max="13" width="17.125" customWidth="1"/>
    <col min="14" max="15" width="8.5" customWidth="1"/>
    <col min="16" max="16" width="12.625" customWidth="1"/>
    <col min="17" max="19" width="8.5" customWidth="1"/>
  </cols>
  <sheetData>
    <row r="1" spans="2:16" ht="17.25" customHeight="1">
      <c r="G1" s="2" t="s">
        <v>14</v>
      </c>
    </row>
    <row r="2" spans="2:16" ht="17.25" customHeight="1">
      <c r="G2" s="1" t="s">
        <v>33</v>
      </c>
    </row>
    <row r="3" spans="2:16" ht="17.25" customHeight="1">
      <c r="G3" s="5"/>
    </row>
    <row r="4" spans="2:16" ht="17.25" customHeight="1">
      <c r="J4" s="4" t="s">
        <v>31</v>
      </c>
    </row>
    <row r="5" spans="2:16" ht="20" customHeight="1">
      <c r="B5" s="2" t="s">
        <v>0</v>
      </c>
      <c r="C5" s="2" t="s">
        <v>1</v>
      </c>
      <c r="D5" s="2" t="s">
        <v>2</v>
      </c>
      <c r="E5" s="6" t="s">
        <v>15</v>
      </c>
      <c r="F5" s="6" t="s">
        <v>16</v>
      </c>
      <c r="G5" s="2" t="s">
        <v>17</v>
      </c>
      <c r="H5" s="2" t="s">
        <v>18</v>
      </c>
      <c r="J5" t="s">
        <v>32</v>
      </c>
      <c r="L5" t="s">
        <v>34</v>
      </c>
      <c r="M5" t="s">
        <v>35</v>
      </c>
      <c r="N5" t="s">
        <v>37</v>
      </c>
      <c r="P5" t="s">
        <v>36</v>
      </c>
    </row>
    <row r="6" spans="2:16" ht="17.25" customHeight="1">
      <c r="B6" s="3">
        <v>44524</v>
      </c>
      <c r="C6" s="2" t="s">
        <v>3</v>
      </c>
      <c r="D6" s="2" t="s">
        <v>4</v>
      </c>
      <c r="E6" s="2" t="s">
        <v>19</v>
      </c>
      <c r="F6" s="2" t="s">
        <v>20</v>
      </c>
      <c r="G6" t="str">
        <f>CONCATENATE(J6,L6,M6)</f>
        <v>fl12313</v>
      </c>
      <c r="H6" s="4" t="str">
        <f>CONCATENATE(N6,".",P6)</f>
        <v>A. RAI</v>
      </c>
      <c r="J6" t="str">
        <f>LEFT(D6,2)</f>
        <v>fl</v>
      </c>
      <c r="L6" t="str">
        <f>RIGHT(C6,3)</f>
        <v>123</v>
      </c>
      <c r="M6" t="str">
        <f>RIGHT(F6,2)</f>
        <v>13</v>
      </c>
      <c r="N6" t="str">
        <f>LEFT(E6,1)</f>
        <v>A</v>
      </c>
      <c r="O6">
        <f>SEARCH(" ",E6)</f>
        <v>8</v>
      </c>
      <c r="P6" t="str">
        <f>MID(E6,O6,25)</f>
        <v xml:space="preserve"> RAI</v>
      </c>
    </row>
    <row r="7" spans="2:16" ht="17.25" customHeight="1">
      <c r="B7" s="3">
        <v>44525</v>
      </c>
      <c r="C7" s="2" t="s">
        <v>3</v>
      </c>
      <c r="D7" s="2" t="s">
        <v>4</v>
      </c>
      <c r="E7" s="2" t="s">
        <v>21</v>
      </c>
      <c r="F7" s="2" t="s">
        <v>22</v>
      </c>
      <c r="G7" t="str">
        <f t="shared" ref="G7:G24" si="0">CONCATENATE(J7,L7,M7)</f>
        <v>fl12316</v>
      </c>
      <c r="H7" s="4" t="str">
        <f t="shared" ref="H7:H24" si="1">CONCATENATE(N7,".",P7)</f>
        <v>i. mehta</v>
      </c>
      <c r="J7" t="str">
        <f t="shared" ref="J7:J24" si="2">LEFT(D7,2)</f>
        <v>fl</v>
      </c>
      <c r="L7" t="str">
        <f t="shared" ref="L7:L24" si="3">RIGHT(C7,3)</f>
        <v>123</v>
      </c>
      <c r="M7" t="str">
        <f t="shared" ref="M7:M24" si="4">RIGHT(F7,2)</f>
        <v>16</v>
      </c>
      <c r="N7" t="str">
        <f t="shared" ref="N7:N24" si="5">LEFT(E7,1)</f>
        <v>i</v>
      </c>
      <c r="O7">
        <f t="shared" ref="O7:O24" si="6">SEARCH(" ",E7)</f>
        <v>8</v>
      </c>
      <c r="P7" t="str">
        <f t="shared" ref="P7:P24" si="7">MID(E7,O7,25)</f>
        <v xml:space="preserve"> mehta</v>
      </c>
    </row>
    <row r="8" spans="2:16" ht="17.25" customHeight="1">
      <c r="B8" s="3">
        <v>44526</v>
      </c>
      <c r="C8" s="2" t="s">
        <v>3</v>
      </c>
      <c r="D8" s="2" t="s">
        <v>4</v>
      </c>
      <c r="E8" s="2" t="s">
        <v>23</v>
      </c>
      <c r="F8" s="2" t="s">
        <v>24</v>
      </c>
      <c r="G8" t="str">
        <f t="shared" si="0"/>
        <v>fl12317</v>
      </c>
      <c r="H8" s="4" t="str">
        <f t="shared" si="1"/>
        <v>S. Ghosh</v>
      </c>
      <c r="J8" t="str">
        <f t="shared" si="2"/>
        <v>fl</v>
      </c>
      <c r="L8" t="str">
        <f t="shared" si="3"/>
        <v>123</v>
      </c>
      <c r="M8" t="str">
        <f t="shared" si="4"/>
        <v>17</v>
      </c>
      <c r="N8" t="str">
        <f t="shared" si="5"/>
        <v>S</v>
      </c>
      <c r="O8">
        <f t="shared" si="6"/>
        <v>6</v>
      </c>
      <c r="P8" t="str">
        <f t="shared" si="7"/>
        <v xml:space="preserve"> Ghosh</v>
      </c>
    </row>
    <row r="9" spans="2:16" ht="17.25" customHeight="1">
      <c r="B9" s="3">
        <v>44529</v>
      </c>
      <c r="C9" s="2" t="s">
        <v>3</v>
      </c>
      <c r="D9" s="2" t="s">
        <v>4</v>
      </c>
      <c r="E9" s="2" t="s">
        <v>25</v>
      </c>
      <c r="F9" s="2" t="s">
        <v>26</v>
      </c>
      <c r="G9" t="str">
        <f t="shared" si="0"/>
        <v>fl12320</v>
      </c>
      <c r="H9" s="4" t="str">
        <f t="shared" si="1"/>
        <v>L. MAHENDRA</v>
      </c>
      <c r="J9" t="str">
        <f t="shared" si="2"/>
        <v>fl</v>
      </c>
      <c r="L9" t="str">
        <f t="shared" si="3"/>
        <v>123</v>
      </c>
      <c r="M9" t="str">
        <f t="shared" si="4"/>
        <v>20</v>
      </c>
      <c r="N9" t="str">
        <f t="shared" si="5"/>
        <v>L</v>
      </c>
      <c r="O9">
        <f t="shared" si="6"/>
        <v>6</v>
      </c>
      <c r="P9" t="str">
        <f t="shared" si="7"/>
        <v xml:space="preserve"> MAHENDRA</v>
      </c>
    </row>
    <row r="10" spans="2:16" ht="17.25" customHeight="1">
      <c r="B10" s="3">
        <v>44894</v>
      </c>
      <c r="C10" s="2" t="s">
        <v>5</v>
      </c>
      <c r="D10" s="2" t="s">
        <v>6</v>
      </c>
      <c r="E10" s="2" t="s">
        <v>27</v>
      </c>
      <c r="F10" s="2" t="s">
        <v>28</v>
      </c>
      <c r="G10" t="str">
        <f t="shared" si="0"/>
        <v>cu12421</v>
      </c>
      <c r="H10" s="4" t="str">
        <f t="shared" si="1"/>
        <v>P. SHAH</v>
      </c>
      <c r="J10" t="str">
        <f t="shared" si="2"/>
        <v>cu</v>
      </c>
      <c r="L10" t="str">
        <f t="shared" si="3"/>
        <v>124</v>
      </c>
      <c r="M10" t="str">
        <f t="shared" si="4"/>
        <v>21</v>
      </c>
      <c r="N10" t="str">
        <f t="shared" si="5"/>
        <v>P</v>
      </c>
      <c r="O10">
        <f t="shared" si="6"/>
        <v>7</v>
      </c>
      <c r="P10" t="str">
        <f t="shared" si="7"/>
        <v xml:space="preserve"> SHAH</v>
      </c>
    </row>
    <row r="11" spans="2:16" ht="17.25" customHeight="1">
      <c r="B11" s="3">
        <v>44895</v>
      </c>
      <c r="C11" s="2" t="s">
        <v>5</v>
      </c>
      <c r="D11" s="2" t="s">
        <v>7</v>
      </c>
      <c r="E11" s="2" t="s">
        <v>29</v>
      </c>
      <c r="F11" s="2" t="s">
        <v>24</v>
      </c>
      <c r="G11" t="str">
        <f t="shared" si="0"/>
        <v>pr12417</v>
      </c>
      <c r="H11" s="4" t="str">
        <f t="shared" si="1"/>
        <v>S. GHOSH</v>
      </c>
      <c r="J11" t="str">
        <f t="shared" si="2"/>
        <v>pr</v>
      </c>
      <c r="L11" t="str">
        <f t="shared" si="3"/>
        <v>124</v>
      </c>
      <c r="M11" t="str">
        <f t="shared" si="4"/>
        <v>17</v>
      </c>
      <c r="N11" t="str">
        <f t="shared" si="5"/>
        <v>S</v>
      </c>
      <c r="O11">
        <f t="shared" si="6"/>
        <v>6</v>
      </c>
      <c r="P11" t="str">
        <f t="shared" si="7"/>
        <v xml:space="preserve"> GHOSH</v>
      </c>
    </row>
    <row r="12" spans="2:16" ht="17.25" customHeight="1">
      <c r="B12" s="3">
        <v>44896</v>
      </c>
      <c r="C12" s="2" t="s">
        <v>5</v>
      </c>
      <c r="D12" s="2" t="s">
        <v>7</v>
      </c>
      <c r="E12" s="2" t="s">
        <v>25</v>
      </c>
      <c r="F12" s="2" t="s">
        <v>26</v>
      </c>
      <c r="G12" t="str">
        <f t="shared" si="0"/>
        <v>pr12420</v>
      </c>
      <c r="H12" s="4" t="str">
        <f t="shared" si="1"/>
        <v>L. MAHENDRA</v>
      </c>
      <c r="J12" t="str">
        <f t="shared" si="2"/>
        <v>pr</v>
      </c>
      <c r="L12" t="str">
        <f t="shared" si="3"/>
        <v>124</v>
      </c>
      <c r="M12" t="str">
        <f t="shared" si="4"/>
        <v>20</v>
      </c>
      <c r="N12" t="str">
        <f t="shared" si="5"/>
        <v>L</v>
      </c>
      <c r="O12">
        <f t="shared" si="6"/>
        <v>6</v>
      </c>
      <c r="P12" t="str">
        <f t="shared" si="7"/>
        <v xml:space="preserve"> MAHENDRA</v>
      </c>
    </row>
    <row r="13" spans="2:16" ht="17.25" customHeight="1">
      <c r="B13" s="3">
        <v>44897</v>
      </c>
      <c r="C13" s="2" t="s">
        <v>5</v>
      </c>
      <c r="D13" s="2" t="s">
        <v>7</v>
      </c>
      <c r="E13" s="2" t="s">
        <v>27</v>
      </c>
      <c r="F13" s="2" t="s">
        <v>28</v>
      </c>
      <c r="G13" t="str">
        <f t="shared" si="0"/>
        <v>pr12421</v>
      </c>
      <c r="H13" s="4" t="str">
        <f t="shared" si="1"/>
        <v>P. SHAH</v>
      </c>
      <c r="J13" t="str">
        <f t="shared" si="2"/>
        <v>pr</v>
      </c>
      <c r="L13" t="str">
        <f t="shared" si="3"/>
        <v>124</v>
      </c>
      <c r="M13" t="str">
        <f t="shared" si="4"/>
        <v>21</v>
      </c>
      <c r="N13" t="str">
        <f t="shared" si="5"/>
        <v>P</v>
      </c>
      <c r="O13">
        <f t="shared" si="6"/>
        <v>7</v>
      </c>
      <c r="P13" t="str">
        <f t="shared" si="7"/>
        <v xml:space="preserve"> SHAH</v>
      </c>
    </row>
    <row r="14" spans="2:16" ht="17.25" customHeight="1">
      <c r="B14" s="3">
        <v>44540</v>
      </c>
      <c r="C14" s="2" t="s">
        <v>8</v>
      </c>
      <c r="D14" s="2" t="s">
        <v>9</v>
      </c>
      <c r="E14" s="2" t="s">
        <v>19</v>
      </c>
      <c r="F14" s="2" t="s">
        <v>20</v>
      </c>
      <c r="G14" t="str">
        <f t="shared" si="0"/>
        <v>mo12513</v>
      </c>
      <c r="H14" s="4" t="str">
        <f t="shared" si="1"/>
        <v>A. RAI</v>
      </c>
      <c r="J14" t="str">
        <f t="shared" si="2"/>
        <v>mo</v>
      </c>
      <c r="L14" t="str">
        <f t="shared" si="3"/>
        <v>125</v>
      </c>
      <c r="M14" t="str">
        <f t="shared" si="4"/>
        <v>13</v>
      </c>
      <c r="N14" t="str">
        <f t="shared" si="5"/>
        <v>A</v>
      </c>
      <c r="O14">
        <f t="shared" si="6"/>
        <v>8</v>
      </c>
      <c r="P14" t="str">
        <f t="shared" si="7"/>
        <v xml:space="preserve"> RAI</v>
      </c>
    </row>
    <row r="15" spans="2:16" ht="17.25" customHeight="1">
      <c r="B15" s="3">
        <v>44543</v>
      </c>
      <c r="C15" s="2" t="s">
        <v>8</v>
      </c>
      <c r="D15" s="2" t="s">
        <v>9</v>
      </c>
      <c r="E15" s="2" t="s">
        <v>30</v>
      </c>
      <c r="F15" s="2" t="s">
        <v>22</v>
      </c>
      <c r="G15" t="str">
        <f t="shared" si="0"/>
        <v>mo12516</v>
      </c>
      <c r="H15" s="4" t="str">
        <f t="shared" si="1"/>
        <v>I. MEHTA</v>
      </c>
      <c r="J15" t="str">
        <f t="shared" si="2"/>
        <v>mo</v>
      </c>
      <c r="L15" t="str">
        <f t="shared" si="3"/>
        <v>125</v>
      </c>
      <c r="M15" t="str">
        <f t="shared" si="4"/>
        <v>16</v>
      </c>
      <c r="N15" t="str">
        <f t="shared" si="5"/>
        <v>I</v>
      </c>
      <c r="O15">
        <f t="shared" si="6"/>
        <v>8</v>
      </c>
      <c r="P15" t="str">
        <f t="shared" si="7"/>
        <v xml:space="preserve"> MEHTA</v>
      </c>
    </row>
    <row r="16" spans="2:16" ht="17.25" customHeight="1">
      <c r="B16" s="3">
        <v>44544</v>
      </c>
      <c r="C16" s="2" t="s">
        <v>8</v>
      </c>
      <c r="D16" s="2" t="s">
        <v>9</v>
      </c>
      <c r="E16" s="2" t="s">
        <v>30</v>
      </c>
      <c r="F16" s="2" t="s">
        <v>22</v>
      </c>
      <c r="G16" t="str">
        <f t="shared" si="0"/>
        <v>mo12516</v>
      </c>
      <c r="H16" s="4" t="str">
        <f t="shared" si="1"/>
        <v>I. MEHTA</v>
      </c>
      <c r="J16" t="str">
        <f t="shared" si="2"/>
        <v>mo</v>
      </c>
      <c r="L16" t="str">
        <f t="shared" si="3"/>
        <v>125</v>
      </c>
      <c r="M16" t="str">
        <f t="shared" si="4"/>
        <v>16</v>
      </c>
      <c r="N16" t="str">
        <f t="shared" si="5"/>
        <v>I</v>
      </c>
      <c r="O16">
        <f t="shared" si="6"/>
        <v>8</v>
      </c>
      <c r="P16" t="str">
        <f t="shared" si="7"/>
        <v xml:space="preserve"> MEHTA</v>
      </c>
    </row>
    <row r="17" spans="2:16" ht="17.25" customHeight="1">
      <c r="B17" s="3">
        <v>44928</v>
      </c>
      <c r="C17" s="2" t="s">
        <v>10</v>
      </c>
      <c r="D17" s="2" t="s">
        <v>9</v>
      </c>
      <c r="E17" s="2" t="s">
        <v>25</v>
      </c>
      <c r="F17" s="2" t="s">
        <v>26</v>
      </c>
      <c r="G17" t="str">
        <f t="shared" si="0"/>
        <v>mo12620</v>
      </c>
      <c r="H17" s="4" t="str">
        <f t="shared" si="1"/>
        <v>L. MAHENDRA</v>
      </c>
      <c r="J17" t="str">
        <f t="shared" si="2"/>
        <v>mo</v>
      </c>
      <c r="L17" t="str">
        <f t="shared" si="3"/>
        <v>126</v>
      </c>
      <c r="M17" t="str">
        <f t="shared" si="4"/>
        <v>20</v>
      </c>
      <c r="N17" t="str">
        <f t="shared" si="5"/>
        <v>L</v>
      </c>
      <c r="O17">
        <f t="shared" si="6"/>
        <v>6</v>
      </c>
      <c r="P17" t="str">
        <f t="shared" si="7"/>
        <v xml:space="preserve"> MAHENDRA</v>
      </c>
    </row>
    <row r="18" spans="2:16" ht="17.25" customHeight="1">
      <c r="B18" s="3">
        <v>44959</v>
      </c>
      <c r="C18" s="2" t="s">
        <v>10</v>
      </c>
      <c r="D18" s="2" t="s">
        <v>7</v>
      </c>
      <c r="E18" s="2" t="s">
        <v>27</v>
      </c>
      <c r="F18" s="2" t="s">
        <v>28</v>
      </c>
      <c r="G18" t="str">
        <f t="shared" si="0"/>
        <v>pr12621</v>
      </c>
      <c r="H18" s="4" t="str">
        <f t="shared" si="1"/>
        <v>P. SHAH</v>
      </c>
      <c r="J18" t="str">
        <f t="shared" si="2"/>
        <v>pr</v>
      </c>
      <c r="L18" t="str">
        <f t="shared" si="3"/>
        <v>126</v>
      </c>
      <c r="M18" t="str">
        <f t="shared" si="4"/>
        <v>21</v>
      </c>
      <c r="N18" t="str">
        <f t="shared" si="5"/>
        <v>P</v>
      </c>
      <c r="O18">
        <f t="shared" si="6"/>
        <v>7</v>
      </c>
      <c r="P18" t="str">
        <f t="shared" si="7"/>
        <v xml:space="preserve"> SHAH</v>
      </c>
    </row>
    <row r="19" spans="2:16" ht="17.25" customHeight="1">
      <c r="B19" s="3">
        <v>44987</v>
      </c>
      <c r="C19" s="2" t="s">
        <v>10</v>
      </c>
      <c r="D19" s="2" t="s">
        <v>7</v>
      </c>
      <c r="E19" s="2" t="s">
        <v>29</v>
      </c>
      <c r="F19" s="2" t="s">
        <v>24</v>
      </c>
      <c r="G19" t="str">
        <f t="shared" si="0"/>
        <v>pr12617</v>
      </c>
      <c r="H19" s="4" t="str">
        <f t="shared" si="1"/>
        <v>S. GHOSH</v>
      </c>
      <c r="J19" t="str">
        <f t="shared" si="2"/>
        <v>pr</v>
      </c>
      <c r="L19" t="str">
        <f t="shared" si="3"/>
        <v>126</v>
      </c>
      <c r="M19" t="str">
        <f t="shared" si="4"/>
        <v>17</v>
      </c>
      <c r="N19" t="str">
        <f t="shared" si="5"/>
        <v>S</v>
      </c>
      <c r="O19">
        <f t="shared" si="6"/>
        <v>6</v>
      </c>
      <c r="P19" t="str">
        <f t="shared" si="7"/>
        <v xml:space="preserve"> GHOSH</v>
      </c>
    </row>
    <row r="20" spans="2:16" ht="17.25" customHeight="1">
      <c r="B20" s="3">
        <v>45018</v>
      </c>
      <c r="C20" s="2" t="s">
        <v>10</v>
      </c>
      <c r="D20" s="2" t="s">
        <v>9</v>
      </c>
      <c r="E20" s="2" t="s">
        <v>27</v>
      </c>
      <c r="F20" s="2" t="s">
        <v>28</v>
      </c>
      <c r="G20" t="str">
        <f t="shared" si="0"/>
        <v>mo12621</v>
      </c>
      <c r="H20" s="4" t="str">
        <f t="shared" si="1"/>
        <v>P. SHAH</v>
      </c>
      <c r="J20" t="str">
        <f t="shared" si="2"/>
        <v>mo</v>
      </c>
      <c r="L20" t="str">
        <f t="shared" si="3"/>
        <v>126</v>
      </c>
      <c r="M20" t="str">
        <f t="shared" si="4"/>
        <v>21</v>
      </c>
      <c r="N20" t="str">
        <f t="shared" si="5"/>
        <v>P</v>
      </c>
      <c r="O20">
        <f t="shared" si="6"/>
        <v>7</v>
      </c>
      <c r="P20" t="str">
        <f t="shared" si="7"/>
        <v xml:space="preserve"> SHAH</v>
      </c>
    </row>
    <row r="21" spans="2:16" ht="17.25" customHeight="1">
      <c r="B21" s="3">
        <v>45048</v>
      </c>
      <c r="C21" s="2" t="s">
        <v>10</v>
      </c>
      <c r="D21" s="2" t="s">
        <v>11</v>
      </c>
      <c r="E21" s="2" t="s">
        <v>19</v>
      </c>
      <c r="F21" s="2" t="s">
        <v>20</v>
      </c>
      <c r="G21" t="str">
        <f t="shared" si="0"/>
        <v>ro12613</v>
      </c>
      <c r="H21" s="4" t="str">
        <f t="shared" si="1"/>
        <v>A. RAI</v>
      </c>
      <c r="J21" t="str">
        <f t="shared" si="2"/>
        <v>ro</v>
      </c>
      <c r="L21" t="str">
        <f t="shared" si="3"/>
        <v>126</v>
      </c>
      <c r="M21" t="str">
        <f t="shared" si="4"/>
        <v>13</v>
      </c>
      <c r="N21" t="str">
        <f t="shared" si="5"/>
        <v>A</v>
      </c>
      <c r="O21">
        <f t="shared" si="6"/>
        <v>8</v>
      </c>
      <c r="P21" t="str">
        <f t="shared" si="7"/>
        <v xml:space="preserve"> RAI</v>
      </c>
    </row>
    <row r="22" spans="2:16" ht="17.25" customHeight="1">
      <c r="B22" s="3">
        <v>45079</v>
      </c>
      <c r="C22" s="2" t="s">
        <v>10</v>
      </c>
      <c r="D22" s="2" t="s">
        <v>11</v>
      </c>
      <c r="E22" s="2" t="s">
        <v>30</v>
      </c>
      <c r="F22" s="2" t="s">
        <v>22</v>
      </c>
      <c r="G22" t="str">
        <f t="shared" si="0"/>
        <v>ro12616</v>
      </c>
      <c r="H22" s="4" t="str">
        <f t="shared" si="1"/>
        <v>I. MEHTA</v>
      </c>
      <c r="J22" t="str">
        <f t="shared" si="2"/>
        <v>ro</v>
      </c>
      <c r="L22" t="str">
        <f t="shared" si="3"/>
        <v>126</v>
      </c>
      <c r="M22" t="str">
        <f t="shared" si="4"/>
        <v>16</v>
      </c>
      <c r="N22" t="str">
        <f t="shared" si="5"/>
        <v>I</v>
      </c>
      <c r="O22">
        <f t="shared" si="6"/>
        <v>8</v>
      </c>
      <c r="P22" t="str">
        <f t="shared" si="7"/>
        <v xml:space="preserve"> MEHTA</v>
      </c>
    </row>
    <row r="23" spans="2:16" ht="17.25" customHeight="1">
      <c r="B23" s="3">
        <v>44547</v>
      </c>
      <c r="C23" s="2" t="s">
        <v>12</v>
      </c>
      <c r="D23" s="2" t="s">
        <v>13</v>
      </c>
      <c r="E23" s="2" t="s">
        <v>25</v>
      </c>
      <c r="F23" s="2" t="s">
        <v>26</v>
      </c>
      <c r="G23" t="str">
        <f t="shared" si="0"/>
        <v>La12720</v>
      </c>
      <c r="H23" s="4" t="str">
        <f t="shared" si="1"/>
        <v>L. MAHENDRA</v>
      </c>
      <c r="J23" t="str">
        <f t="shared" si="2"/>
        <v>La</v>
      </c>
      <c r="L23" t="str">
        <f t="shared" si="3"/>
        <v>127</v>
      </c>
      <c r="M23" t="str">
        <f t="shared" si="4"/>
        <v>20</v>
      </c>
      <c r="N23" t="str">
        <f t="shared" si="5"/>
        <v>L</v>
      </c>
      <c r="O23">
        <f t="shared" si="6"/>
        <v>6</v>
      </c>
      <c r="P23" t="str">
        <f t="shared" si="7"/>
        <v xml:space="preserve"> MAHENDRA</v>
      </c>
    </row>
    <row r="24" spans="2:16" ht="17.25" customHeight="1">
      <c r="B24" s="3">
        <v>44550</v>
      </c>
      <c r="C24" s="2" t="s">
        <v>12</v>
      </c>
      <c r="D24" s="2" t="s">
        <v>13</v>
      </c>
      <c r="E24" s="2" t="s">
        <v>27</v>
      </c>
      <c r="F24" s="2" t="s">
        <v>28</v>
      </c>
      <c r="G24" t="str">
        <f t="shared" si="0"/>
        <v>La12721</v>
      </c>
      <c r="H24" s="4" t="str">
        <f t="shared" si="1"/>
        <v>P. SHAH</v>
      </c>
      <c r="J24" t="str">
        <f t="shared" si="2"/>
        <v>La</v>
      </c>
      <c r="L24" t="str">
        <f t="shared" si="3"/>
        <v>127</v>
      </c>
      <c r="M24" t="str">
        <f t="shared" si="4"/>
        <v>21</v>
      </c>
      <c r="N24" t="str">
        <f t="shared" si="5"/>
        <v>P</v>
      </c>
      <c r="O24">
        <f t="shared" si="6"/>
        <v>7</v>
      </c>
      <c r="P24" t="str">
        <f t="shared" si="7"/>
        <v xml:space="preserve"> SHAH</v>
      </c>
    </row>
    <row r="25" spans="2:16" ht="17.25" customHeight="1"/>
    <row r="26" spans="2:16" ht="17.25" customHeight="1"/>
    <row r="27" spans="2:16" ht="17.25" customHeight="1"/>
    <row r="28" spans="2:16" ht="17.25" customHeight="1"/>
    <row r="29" spans="2:16" ht="17.25" customHeight="1"/>
    <row r="30" spans="2:16" ht="17.25" customHeight="1"/>
    <row r="31" spans="2:16" ht="17.25" customHeight="1"/>
    <row r="32" spans="2:16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Kanishka Agarwal</cp:lastModifiedBy>
  <dcterms:created xsi:type="dcterms:W3CDTF">2023-03-30T06:52:39Z</dcterms:created>
  <dcterms:modified xsi:type="dcterms:W3CDTF">2023-10-07T13:26:33Z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2023-10-04T15:34:21Z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60a81b94-f864-48ef-811c-a567167cda35</vt:lpwstr>
  </property>
  <property fmtid="{D5CDD505-2E9C-101B-9397-08002B2CF9AE}" pid="7" name="MSIP_Label_defa4170-0d19-0005-0004-bc88714345d2_ActionId">
    <vt:lpwstr>0786e1b0-dfc8-4b14-a04c-97687061a1ec</vt:lpwstr>
  </property>
  <property fmtid="{D5CDD505-2E9C-101B-9397-08002B2CF9AE}" pid="8" name="MSIP_Label_defa4170-0d19-0005-0004-bc88714345d2_ContentBits">
    <vt:lpwstr>0</vt:lpwstr>
  </property>
</Properties>
</file>